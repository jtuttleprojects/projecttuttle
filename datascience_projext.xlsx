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ijan\Desktop\"/>
    </mc:Choice>
  </mc:AlternateContent>
  <xr:revisionPtr revIDLastSave="0" documentId="13_ncr:1_{CCAB8397-8304-4BAD-B15F-557CAD8FB3A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OCR-small.csv" sheetId="2" r:id="rId1"/>
    <sheet name="flights" sheetId="3" r:id="rId2"/>
    <sheet name="Data Sources" sheetId="4" r:id="rId3"/>
    <sheet name="Lookups" sheetId="5" r:id="rId4"/>
    <sheet name="Answers" sheetId="6" r:id="rId5"/>
  </sheets>
  <definedNames>
    <definedName name="ExternalData_1" localSheetId="1">flights!$A$1:$C$145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1Vjxs+593pbIi40SRlJXmUi8/ZtQ8bC7/PIbBplV4o="/>
    </ext>
  </extLst>
</workbook>
</file>

<file path=xl/calcChain.xml><?xml version="1.0" encoding="utf-8"?>
<calcChain xmlns="http://schemas.openxmlformats.org/spreadsheetml/2006/main">
  <c r="A32" i="2" l="1"/>
  <c r="D29" i="2"/>
  <c r="C29" i="2"/>
  <c r="B29" i="2"/>
  <c r="A26" i="2"/>
  <c r="D24" i="2"/>
  <c r="C24" i="2"/>
  <c r="B24" i="2"/>
  <c r="A24" i="2"/>
  <c r="B22" i="2"/>
  <c r="A22" i="2"/>
  <c r="E20" i="2"/>
  <c r="D20" i="2"/>
  <c r="C20" i="2"/>
  <c r="B20" i="2"/>
  <c r="A20" i="2"/>
  <c r="F18" i="2"/>
  <c r="E18" i="2"/>
  <c r="D18" i="2"/>
  <c r="C18" i="2"/>
  <c r="B18" i="2"/>
  <c r="A18" i="2"/>
</calcChain>
</file>

<file path=xl/sharedStrings.xml><?xml version="1.0" encoding="utf-8"?>
<sst xmlns="http://schemas.openxmlformats.org/spreadsheetml/2006/main" count="223" uniqueCount="68">
  <si>
    <t>Name</t>
  </si>
  <si>
    <t>Team</t>
  </si>
  <si>
    <t>Position</t>
  </si>
  <si>
    <t>Height(inches)</t>
  </si>
  <si>
    <t>Weight(pounds)</t>
  </si>
  <si>
    <t>Age</t>
  </si>
  <si>
    <t>Paul_McAnulty</t>
  </si>
  <si>
    <t>SD</t>
  </si>
  <si>
    <t>Outfielder</t>
  </si>
  <si>
    <t>Terrmel_Sledge</t>
  </si>
  <si>
    <t>Jack_Cust</t>
  </si>
  <si>
    <t>Jose_Cruz_Jr.</t>
  </si>
  <si>
    <t>Russell_Branyan</t>
  </si>
  <si>
    <t>Mike_Cameron</t>
  </si>
  <si>
    <t>Brian_Giles</t>
  </si>
  <si>
    <t>Mike_Thompson</t>
  </si>
  <si>
    <t>Pitcher</t>
  </si>
  <si>
    <t>Clay_Hensley</t>
  </si>
  <si>
    <t>Chris_Young</t>
  </si>
  <si>
    <t>Greg_Maddux</t>
  </si>
  <si>
    <t>Jake_Peavy</t>
  </si>
  <si>
    <t>year</t>
  </si>
  <si>
    <t>month</t>
  </si>
  <si>
    <t>passengers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</si>
  <si>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</si>
  <si>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</si>
  <si>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</si>
  <si>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</si>
  <si>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</si>
  <si>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</si>
  <si>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</si>
  <si>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</si>
  <si>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</si>
  <si>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</si>
  <si>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</si>
  <si>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</si>
  <si>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Dataset</t>
  </si>
  <si>
    <t>Source</t>
  </si>
  <si>
    <t>SOCR-small</t>
  </si>
  <si>
    <t>http://wiki.stat.ucla.edu/socr/index.php/SOCR_Data_MLB_HeightsWeights</t>
  </si>
  <si>
    <t>flights</t>
  </si>
  <si>
    <t>https://github.com/mwaskom/seaborn-data/blob/master/flights.csv</t>
  </si>
  <si>
    <t>Mean Height</t>
  </si>
  <si>
    <t>Median Height</t>
  </si>
  <si>
    <t>sample stdev height</t>
  </si>
  <si>
    <t>population stdev height</t>
  </si>
  <si>
    <t>VAR.S</t>
  </si>
  <si>
    <t>VAR.P</t>
  </si>
  <si>
    <t>Min Height</t>
  </si>
  <si>
    <t>Max Height</t>
  </si>
  <si>
    <t>Range</t>
  </si>
  <si>
    <t>Sum</t>
  </si>
  <si>
    <t>Exact 72s</t>
  </si>
  <si>
    <t>Mean Weight</t>
  </si>
  <si>
    <t>Median Weight</t>
  </si>
  <si>
    <t>Min Weight</t>
  </si>
  <si>
    <t>Max Weight</t>
  </si>
  <si>
    <t>Correlation H/W</t>
  </si>
  <si>
    <r>
      <t xml:space="preserve">1. Why save as </t>
    </r>
    <r>
      <rPr>
        <b/>
        <sz val="12"/>
        <color theme="1"/>
        <rFont val="Aptos"/>
        <family val="2"/>
      </rPr>
      <t>XLSX</t>
    </r>
    <r>
      <rPr>
        <sz val="12"/>
        <color theme="1"/>
        <rFont val="Aptos"/>
        <family val="2"/>
      </rPr>
      <t xml:space="preserve"> (not CSV) when using formulas?</t>
    </r>
  </si>
  <si>
    <r>
      <t xml:space="preserve">2. When would you prefer </t>
    </r>
    <r>
      <rPr>
        <b/>
        <sz val="12"/>
        <color theme="1"/>
        <rFont val="Aptos"/>
        <family val="2"/>
      </rPr>
      <t>Find</t>
    </r>
    <r>
      <rPr>
        <sz val="12"/>
        <color theme="1"/>
        <rFont val="Aptos"/>
        <family val="2"/>
      </rPr>
      <t xml:space="preserve"> vs. </t>
    </r>
    <r>
      <rPr>
        <b/>
        <sz val="12"/>
        <color theme="1"/>
        <rFont val="Aptos"/>
        <family val="2"/>
      </rPr>
      <t>Filter</t>
    </r>
    <r>
      <rPr>
        <sz val="12"/>
        <color theme="1"/>
        <rFont val="Aptos"/>
        <family val="2"/>
      </rPr>
      <t>?</t>
    </r>
  </si>
  <si>
    <t>3. Why might MATCH or VLOOKUP not find what you expect if you forget FALSE?</t>
  </si>
  <si>
    <t>1. The formulas are lost when in .csv</t>
  </si>
  <si>
    <t>2. Find is more precise</t>
  </si>
  <si>
    <t>3. If no FALSE Excel assumes TRUE</t>
  </si>
  <si>
    <t>Count of Outfielders</t>
  </si>
  <si>
    <t>Index</t>
  </si>
  <si>
    <t>Match</t>
  </si>
  <si>
    <t>Age of Mike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</si>
</sst>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Aptos Narrow"/>
      <scheme val="minor"/>
    </font>
    <font>
      <sz val="12"/>
      <color theme="1"/>
      <name val="Caligr"/>
    </font>
    <font>
      <sz val="12"/>
      <color theme="1"/>
      <name val="Aptos"/>
      <family val="2"/>
    </font>
    <font>
      <b/>
      <sz val="12"/>
      <color theme="1"/>
      <name val="Calibri"/>
      <family val="2"/>
    </font>
    <font>
      <b/>
      <sz val="12"/>
      <color theme="1"/>
      <name val="Aptos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left" vertical="center" indent="1"/>
    </xf>
    <xf numFmtId="0" fontId="1" fillId="0" borderId="0" xfId="0" applyFont="1"/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Players</a:t>
            </a:r>
            <a:r>
              <a:rPr lang="en-US" baseline="0"/>
              <a:t> Height and Weight in Inches and Pounds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'SOCR-small.csv'!$D$1</c:f>
              <c:strCache>
                <c:ptCount val="1"/>
                <c:pt idx="0">
                  <c:v>Height(inches)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'SOCR-small.csv'!$A$2:$C$13</c:f>
              <c:multiLvlStrCache>
                <c:ptCount val="12"/>
                <c:lvl>
                  <c:pt idx="0">
                    <c:v>Outfielder</c:v>
                  </c:pt>
                  <c:pt idx="1">
                    <c:v>Outfielder</c:v>
                  </c:pt>
                  <c:pt idx="2">
                    <c:v>Outfielder</c:v>
                  </c:pt>
                  <c:pt idx="3">
                    <c:v>Outfielder</c:v>
                  </c:pt>
                  <c:pt idx="4">
                    <c:v>Outfielder</c:v>
                  </c:pt>
                  <c:pt idx="5">
                    <c:v>Outfielder</c:v>
                  </c:pt>
                  <c:pt idx="6">
                    <c:v>Outfielder</c:v>
                  </c:pt>
                  <c:pt idx="7">
                    <c:v>Pitcher</c:v>
                  </c:pt>
                  <c:pt idx="8">
                    <c:v>Pitcher</c:v>
                  </c:pt>
                  <c:pt idx="9">
                    <c:v>Pitcher</c:v>
                  </c:pt>
                  <c:pt idx="10">
                    <c:v>Pitcher</c:v>
                  </c:pt>
                  <c:pt idx="11">
                    <c:v>Pitcher</c:v>
                  </c:pt>
                </c:lvl>
                <c:lvl>
                  <c:pt idx="0">
                    <c:v>SD</c:v>
                  </c:pt>
                  <c:pt idx="1">
                    <c:v>SD</c:v>
                  </c:pt>
                  <c:pt idx="2">
                    <c:v>SD</c:v>
                  </c:pt>
                  <c:pt idx="3">
                    <c:v>SD</c:v>
                  </c:pt>
                  <c:pt idx="4">
                    <c:v>SD</c:v>
                  </c:pt>
                  <c:pt idx="5">
                    <c:v>SD</c:v>
                  </c:pt>
                  <c:pt idx="6">
                    <c:v>SD</c:v>
                  </c:pt>
                  <c:pt idx="7">
                    <c:v>SD</c:v>
                  </c:pt>
                  <c:pt idx="8">
                    <c:v>SD</c:v>
                  </c:pt>
                  <c:pt idx="9">
                    <c:v>SD</c:v>
                  </c:pt>
                  <c:pt idx="10">
                    <c:v>SD</c:v>
                  </c:pt>
                  <c:pt idx="11">
                    <c:v>SD</c:v>
                  </c:pt>
                </c:lvl>
                <c:lvl>
                  <c:pt idx="0">
                    <c:v>Paul_McAnulty</c:v>
                  </c:pt>
                  <c:pt idx="1">
                    <c:v>Terrmel_Sledge</c:v>
                  </c:pt>
                  <c:pt idx="2">
                    <c:v>Jack_Cust</c:v>
                  </c:pt>
                  <c:pt idx="3">
                    <c:v>Jose_Cruz_Jr.</c:v>
                  </c:pt>
                  <c:pt idx="4">
                    <c:v>Russell_Branyan</c:v>
                  </c:pt>
                  <c:pt idx="5">
                    <c:v>Mike_Cameron</c:v>
                  </c:pt>
                  <c:pt idx="6">
                    <c:v>Brian_Giles</c:v>
                  </c:pt>
                  <c:pt idx="7">
                    <c:v>Mike_Thompson</c:v>
                  </c:pt>
                  <c:pt idx="8">
                    <c:v>Clay_Hensley</c:v>
                  </c:pt>
                  <c:pt idx="9">
                    <c:v>Chris_Young</c:v>
                  </c:pt>
                  <c:pt idx="10">
                    <c:v>Greg_Maddux</c:v>
                  </c:pt>
                  <c:pt idx="11">
                    <c:v>Jake_Peavy</c:v>
                  </c:pt>
                </c:lvl>
              </c:multiLvlStrCache>
            </c:multiLvlStrRef>
          </c:cat>
          <c:val>
            <c:numRef>
              <c:f>'SOCR-small.csv'!$D$2:$D$13</c:f>
              <c:numCache>
                <c:formatCode>General</c:formatCode>
                <c:ptCount val="12"/>
                <c:pt idx="0">
                  <c:v>70</c:v>
                </c:pt>
                <c:pt idx="1">
                  <c:v>72</c:v>
                </c:pt>
                <c:pt idx="2">
                  <c:v>73</c:v>
                </c:pt>
                <c:pt idx="3">
                  <c:v>72</c:v>
                </c:pt>
                <c:pt idx="4">
                  <c:v>75</c:v>
                </c:pt>
                <c:pt idx="5">
                  <c:v>74</c:v>
                </c:pt>
                <c:pt idx="6">
                  <c:v>70</c:v>
                </c:pt>
                <c:pt idx="7">
                  <c:v>76</c:v>
                </c:pt>
                <c:pt idx="8">
                  <c:v>71</c:v>
                </c:pt>
                <c:pt idx="9">
                  <c:v>82</c:v>
                </c:pt>
                <c:pt idx="10">
                  <c:v>72</c:v>
                </c:pt>
                <c:pt idx="1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6-4456-A9E8-B875FFEEA64C}"/>
            </c:ext>
          </c:extLst>
        </c:ser>
        <c:ser>
          <c:idx val="1"/>
          <c:order val="1"/>
          <c:tx>
            <c:strRef>
              <c:f>'SOCR-small.csv'!$E$1</c:f>
              <c:strCache>
                <c:ptCount val="1"/>
                <c:pt idx="0">
                  <c:v>Weight(pounds)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'SOCR-small.csv'!$A$2:$C$13</c:f>
              <c:multiLvlStrCache>
                <c:ptCount val="12"/>
                <c:lvl>
                  <c:pt idx="0">
                    <c:v>Outfielder</c:v>
                  </c:pt>
                  <c:pt idx="1">
                    <c:v>Outfielder</c:v>
                  </c:pt>
                  <c:pt idx="2">
                    <c:v>Outfielder</c:v>
                  </c:pt>
                  <c:pt idx="3">
                    <c:v>Outfielder</c:v>
                  </c:pt>
                  <c:pt idx="4">
                    <c:v>Outfielder</c:v>
                  </c:pt>
                  <c:pt idx="5">
                    <c:v>Outfielder</c:v>
                  </c:pt>
                  <c:pt idx="6">
                    <c:v>Outfielder</c:v>
                  </c:pt>
                  <c:pt idx="7">
                    <c:v>Pitcher</c:v>
                  </c:pt>
                  <c:pt idx="8">
                    <c:v>Pitcher</c:v>
                  </c:pt>
                  <c:pt idx="9">
                    <c:v>Pitcher</c:v>
                  </c:pt>
                  <c:pt idx="10">
                    <c:v>Pitcher</c:v>
                  </c:pt>
                  <c:pt idx="11">
                    <c:v>Pitcher</c:v>
                  </c:pt>
                </c:lvl>
                <c:lvl>
                  <c:pt idx="0">
                    <c:v>SD</c:v>
                  </c:pt>
                  <c:pt idx="1">
                    <c:v>SD</c:v>
                  </c:pt>
                  <c:pt idx="2">
                    <c:v>SD</c:v>
                  </c:pt>
                  <c:pt idx="3">
                    <c:v>SD</c:v>
                  </c:pt>
                  <c:pt idx="4">
                    <c:v>SD</c:v>
                  </c:pt>
                  <c:pt idx="5">
                    <c:v>SD</c:v>
                  </c:pt>
                  <c:pt idx="6">
                    <c:v>SD</c:v>
                  </c:pt>
                  <c:pt idx="7">
                    <c:v>SD</c:v>
                  </c:pt>
                  <c:pt idx="8">
                    <c:v>SD</c:v>
                  </c:pt>
                  <c:pt idx="9">
                    <c:v>SD</c:v>
                  </c:pt>
                  <c:pt idx="10">
                    <c:v>SD</c:v>
                  </c:pt>
                  <c:pt idx="11">
                    <c:v>SD</c:v>
                  </c:pt>
                </c:lvl>
                <c:lvl>
                  <c:pt idx="0">
                    <c:v>Paul_McAnulty</c:v>
                  </c:pt>
                  <c:pt idx="1">
                    <c:v>Terrmel_Sledge</c:v>
                  </c:pt>
                  <c:pt idx="2">
                    <c:v>Jack_Cust</c:v>
                  </c:pt>
                  <c:pt idx="3">
                    <c:v>Jose_Cruz_Jr.</c:v>
                  </c:pt>
                  <c:pt idx="4">
                    <c:v>Russell_Branyan</c:v>
                  </c:pt>
                  <c:pt idx="5">
                    <c:v>Mike_Cameron</c:v>
                  </c:pt>
                  <c:pt idx="6">
                    <c:v>Brian_Giles</c:v>
                  </c:pt>
                  <c:pt idx="7">
                    <c:v>Mike_Thompson</c:v>
                  </c:pt>
                  <c:pt idx="8">
                    <c:v>Clay_Hensley</c:v>
                  </c:pt>
                  <c:pt idx="9">
                    <c:v>Chris_Young</c:v>
                  </c:pt>
                  <c:pt idx="10">
                    <c:v>Greg_Maddux</c:v>
                  </c:pt>
                  <c:pt idx="11">
                    <c:v>Jake_Peavy</c:v>
                  </c:pt>
                </c:lvl>
              </c:multiLvlStrCache>
            </c:multiLvlStrRef>
          </c:cat>
          <c:val>
            <c:numRef>
              <c:f>'SOCR-small.csv'!$E$2:$E$13</c:f>
              <c:numCache>
                <c:formatCode>General</c:formatCode>
                <c:ptCount val="12"/>
                <c:pt idx="0">
                  <c:v>220</c:v>
                </c:pt>
                <c:pt idx="1">
                  <c:v>185</c:v>
                </c:pt>
                <c:pt idx="2">
                  <c:v>231</c:v>
                </c:pt>
                <c:pt idx="3">
                  <c:v>210</c:v>
                </c:pt>
                <c:pt idx="4">
                  <c:v>195</c:v>
                </c:pt>
                <c:pt idx="5">
                  <c:v>200</c:v>
                </c:pt>
                <c:pt idx="6">
                  <c:v>205</c:v>
                </c:pt>
                <c:pt idx="7">
                  <c:v>200</c:v>
                </c:pt>
                <c:pt idx="8">
                  <c:v>190</c:v>
                </c:pt>
                <c:pt idx="9">
                  <c:v>250</c:v>
                </c:pt>
                <c:pt idx="10">
                  <c:v>185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6-4456-A9E8-B875FFEEA64C}"/>
            </c:ext>
          </c:extLst>
        </c:ser>
        <c:ser>
          <c:idx val="2"/>
          <c:order val="2"/>
          <c:tx>
            <c:strRef>
              <c:f>'SOCR-small.csv'!$F$1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'SOCR-small.csv'!$A$2:$C$13</c:f>
              <c:multiLvlStrCache>
                <c:ptCount val="12"/>
                <c:lvl>
                  <c:pt idx="0">
                    <c:v>Outfielder</c:v>
                  </c:pt>
                  <c:pt idx="1">
                    <c:v>Outfielder</c:v>
                  </c:pt>
                  <c:pt idx="2">
                    <c:v>Outfielder</c:v>
                  </c:pt>
                  <c:pt idx="3">
                    <c:v>Outfielder</c:v>
                  </c:pt>
                  <c:pt idx="4">
                    <c:v>Outfielder</c:v>
                  </c:pt>
                  <c:pt idx="5">
                    <c:v>Outfielder</c:v>
                  </c:pt>
                  <c:pt idx="6">
                    <c:v>Outfielder</c:v>
                  </c:pt>
                  <c:pt idx="7">
                    <c:v>Pitcher</c:v>
                  </c:pt>
                  <c:pt idx="8">
                    <c:v>Pitcher</c:v>
                  </c:pt>
                  <c:pt idx="9">
                    <c:v>Pitcher</c:v>
                  </c:pt>
                  <c:pt idx="10">
                    <c:v>Pitcher</c:v>
                  </c:pt>
                  <c:pt idx="11">
                    <c:v>Pitcher</c:v>
                  </c:pt>
                </c:lvl>
                <c:lvl>
                  <c:pt idx="0">
                    <c:v>SD</c:v>
                  </c:pt>
                  <c:pt idx="1">
                    <c:v>SD</c:v>
                  </c:pt>
                  <c:pt idx="2">
                    <c:v>SD</c:v>
                  </c:pt>
                  <c:pt idx="3">
                    <c:v>SD</c:v>
                  </c:pt>
                  <c:pt idx="4">
                    <c:v>SD</c:v>
                  </c:pt>
                  <c:pt idx="5">
                    <c:v>SD</c:v>
                  </c:pt>
                  <c:pt idx="6">
                    <c:v>SD</c:v>
                  </c:pt>
                  <c:pt idx="7">
                    <c:v>SD</c:v>
                  </c:pt>
                  <c:pt idx="8">
                    <c:v>SD</c:v>
                  </c:pt>
                  <c:pt idx="9">
                    <c:v>SD</c:v>
                  </c:pt>
                  <c:pt idx="10">
                    <c:v>SD</c:v>
                  </c:pt>
                  <c:pt idx="11">
                    <c:v>SD</c:v>
                  </c:pt>
                </c:lvl>
                <c:lvl>
                  <c:pt idx="0">
                    <c:v>Paul_McAnulty</c:v>
                  </c:pt>
                  <c:pt idx="1">
                    <c:v>Terrmel_Sledge</c:v>
                  </c:pt>
                  <c:pt idx="2">
                    <c:v>Jack_Cust</c:v>
                  </c:pt>
                  <c:pt idx="3">
                    <c:v>Jose_Cruz_Jr.</c:v>
                  </c:pt>
                  <c:pt idx="4">
                    <c:v>Russell_Branyan</c:v>
                  </c:pt>
                  <c:pt idx="5">
                    <c:v>Mike_Cameron</c:v>
                  </c:pt>
                  <c:pt idx="6">
                    <c:v>Brian_Giles</c:v>
                  </c:pt>
                  <c:pt idx="7">
                    <c:v>Mike_Thompson</c:v>
                  </c:pt>
                  <c:pt idx="8">
                    <c:v>Clay_Hensley</c:v>
                  </c:pt>
                  <c:pt idx="9">
                    <c:v>Chris_Young</c:v>
                  </c:pt>
                  <c:pt idx="10">
                    <c:v>Greg_Maddux</c:v>
                  </c:pt>
                  <c:pt idx="11">
                    <c:v>Jake_Peavy</c:v>
                  </c:pt>
                </c:lvl>
              </c:multiLvlStrCache>
            </c:multiLvlStrRef>
          </c:cat>
          <c:val>
            <c:numRef>
              <c:f>'SOCR-small.csv'!$F$2:$F$13</c:f>
              <c:numCache>
                <c:formatCode>General</c:formatCode>
                <c:ptCount val="12"/>
                <c:pt idx="0">
                  <c:v>26.01</c:v>
                </c:pt>
                <c:pt idx="1">
                  <c:v>29.95</c:v>
                </c:pt>
                <c:pt idx="2">
                  <c:v>28.12</c:v>
                </c:pt>
                <c:pt idx="3">
                  <c:v>32.869999999999997</c:v>
                </c:pt>
                <c:pt idx="4">
                  <c:v>31.2</c:v>
                </c:pt>
                <c:pt idx="5">
                  <c:v>34.14</c:v>
                </c:pt>
                <c:pt idx="6">
                  <c:v>36.11</c:v>
                </c:pt>
                <c:pt idx="7">
                  <c:v>26.31</c:v>
                </c:pt>
                <c:pt idx="8">
                  <c:v>27.5</c:v>
                </c:pt>
                <c:pt idx="9">
                  <c:v>27.77</c:v>
                </c:pt>
                <c:pt idx="10">
                  <c:v>40.880000000000003</c:v>
                </c:pt>
                <c:pt idx="11">
                  <c:v>25.75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C6-4456-A9E8-B875FFEEA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732208"/>
        <c:axId val="1118735568"/>
      </c:barChart>
      <c:catAx>
        <c:axId val="111873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35568"/>
        <c:crosses val="autoZero"/>
        <c:auto val="1"/>
        <c:lblAlgn val="ctr"/>
        <c:lblOffset val="100"/>
        <c:noMultiLvlLbl val="0"/>
      </c:catAx>
      <c:valAx>
        <c:axId val="11187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3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</a:t>
            </a:r>
            <a:r>
              <a:rPr lang="en-US" baseline="0"/>
              <a:t> Height and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'SOCR-small.csv'!$D$2:$D$13</c:f>
              <c:numCache>
                <c:formatCode>General</c:formatCode>
                <c:ptCount val="12"/>
                <c:pt idx="0">
                  <c:v>70</c:v>
                </c:pt>
                <c:pt idx="1">
                  <c:v>72</c:v>
                </c:pt>
                <c:pt idx="2">
                  <c:v>73</c:v>
                </c:pt>
                <c:pt idx="3">
                  <c:v>72</c:v>
                </c:pt>
                <c:pt idx="4">
                  <c:v>75</c:v>
                </c:pt>
                <c:pt idx="5">
                  <c:v>74</c:v>
                </c:pt>
                <c:pt idx="6">
                  <c:v>70</c:v>
                </c:pt>
                <c:pt idx="7">
                  <c:v>76</c:v>
                </c:pt>
                <c:pt idx="8">
                  <c:v>71</c:v>
                </c:pt>
                <c:pt idx="9">
                  <c:v>82</c:v>
                </c:pt>
                <c:pt idx="10">
                  <c:v>72</c:v>
                </c:pt>
                <c:pt idx="11">
                  <c:v>73</c:v>
                </c:pt>
              </c:numCache>
            </c:numRef>
          </c:xVal>
          <c:yVal>
            <c:numRef>
              <c:f>'SOCR-small.csv'!$E$2:$E$13</c:f>
              <c:numCache>
                <c:formatCode>General</c:formatCode>
                <c:ptCount val="12"/>
                <c:pt idx="0">
                  <c:v>220</c:v>
                </c:pt>
                <c:pt idx="1">
                  <c:v>185</c:v>
                </c:pt>
                <c:pt idx="2">
                  <c:v>231</c:v>
                </c:pt>
                <c:pt idx="3">
                  <c:v>210</c:v>
                </c:pt>
                <c:pt idx="4">
                  <c:v>195</c:v>
                </c:pt>
                <c:pt idx="5">
                  <c:v>200</c:v>
                </c:pt>
                <c:pt idx="6">
                  <c:v>205</c:v>
                </c:pt>
                <c:pt idx="7">
                  <c:v>200</c:v>
                </c:pt>
                <c:pt idx="8">
                  <c:v>190</c:v>
                </c:pt>
                <c:pt idx="9">
                  <c:v>250</c:v>
                </c:pt>
                <c:pt idx="10">
                  <c:v>185</c:v>
                </c:pt>
                <c:pt idx="11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D0-419B-8D92-4C37F3292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68192"/>
        <c:axId val="1174568672"/>
      </c:scatterChart>
      <c:valAx>
        <c:axId val="117456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8672"/>
        <c:crosses val="autoZero"/>
        <c:crossBetween val="midCat"/>
      </c:valAx>
      <c:valAx>
        <c:axId val="11745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403224</xdr:colOff>
      <xdr:row>0</xdr:row>
      <xdr:rowOff>149224</xdr:rowOff>
    </xdr:from>
    <xdr:to>
      <xdr:col>17</xdr:col>
      <xdr:colOff>234950</xdr:colOff>
      <xdr:row>27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2C934B-254E-5F40-0BFD-6C6F27622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92075</xdr:colOff>
      <xdr:row>29</xdr:row>
      <xdr:rowOff>34925</xdr:rowOff>
    </xdr:from>
    <xdr:to>
      <xdr:col>12</xdr:col>
      <xdr:colOff>473075</xdr:colOff>
      <xdr:row>43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74E2FF-7D79-76CB-1D21-EACFEF893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21" workbookViewId="0">
      <selection activeCell="C37" sqref="C37"/>
    </sheetView>
  </sheetViews>
  <sheetFormatPr defaultColWidth="12.6328125" defaultRowHeight="15" customHeight="1"/>
  <cols>
    <col min="1" max="1" width="25.26953125" customWidth="1"/>
    <col min="2" max="2" width="20.7265625" customWidth="1"/>
    <col min="3" max="3" width="20.453125" customWidth="1"/>
    <col min="4" max="4" width="23.7265625" customWidth="1"/>
    <col min="5" max="5" width="18.7265625" customWidth="1"/>
    <col min="6" max="26" width="12" customWidth="1"/>
  </cols>
  <sheetData>
    <row r="1" spans="1:26" ht="15.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2" t="s">
        <v>6</v>
      </c>
      <c r="B2" s="2" t="s">
        <v>7</v>
      </c>
      <c r="C2" s="2" t="s">
        <v>8</v>
      </c>
      <c r="D2" s="2">
        <v>70</v>
      </c>
      <c r="E2" s="2">
        <v>220</v>
      </c>
      <c r="F2" s="2">
        <v>26.01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5">
      <c r="A3" s="2" t="s">
        <v>9</v>
      </c>
      <c r="B3" s="2" t="s">
        <v>7</v>
      </c>
      <c r="C3" s="2" t="s">
        <v>8</v>
      </c>
      <c r="D3" s="2">
        <v>72</v>
      </c>
      <c r="E3" s="2">
        <v>185</v>
      </c>
      <c r="F3" s="2">
        <v>29.95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2" t="s">
        <v>10</v>
      </c>
      <c r="B4" s="2" t="s">
        <v>7</v>
      </c>
      <c r="C4" s="2" t="s">
        <v>8</v>
      </c>
      <c r="D4" s="2">
        <v>73</v>
      </c>
      <c r="E4" s="2">
        <v>231</v>
      </c>
      <c r="F4" s="2">
        <v>28.12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>
      <c r="A5" s="2" t="s">
        <v>11</v>
      </c>
      <c r="B5" s="2" t="s">
        <v>7</v>
      </c>
      <c r="C5" s="2" t="s">
        <v>8</v>
      </c>
      <c r="D5" s="2">
        <v>72</v>
      </c>
      <c r="E5" s="2">
        <v>210</v>
      </c>
      <c r="F5" s="2">
        <v>32.869999999999997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5">
      <c r="A6" s="2" t="s">
        <v>12</v>
      </c>
      <c r="B6" s="2" t="s">
        <v>7</v>
      </c>
      <c r="C6" s="2" t="s">
        <v>8</v>
      </c>
      <c r="D6" s="2">
        <v>75</v>
      </c>
      <c r="E6" s="2">
        <v>195</v>
      </c>
      <c r="F6" s="2">
        <v>31.2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5">
      <c r="A7" s="2" t="s">
        <v>13</v>
      </c>
      <c r="B7" s="2" t="s">
        <v>7</v>
      </c>
      <c r="C7" s="2" t="s">
        <v>8</v>
      </c>
      <c r="D7" s="2">
        <v>74</v>
      </c>
      <c r="E7" s="2">
        <v>200</v>
      </c>
      <c r="F7" s="2">
        <v>34.14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5">
      <c r="A8" s="2" t="s">
        <v>14</v>
      </c>
      <c r="B8" s="2" t="s">
        <v>7</v>
      </c>
      <c r="C8" s="2" t="s">
        <v>8</v>
      </c>
      <c r="D8" s="2">
        <v>70</v>
      </c>
      <c r="E8" s="2">
        <v>205</v>
      </c>
      <c r="F8" s="2">
        <v>36.11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5">
      <c r="A9" s="2" t="s">
        <v>15</v>
      </c>
      <c r="B9" s="2" t="s">
        <v>7</v>
      </c>
      <c r="C9" s="2" t="s">
        <v>16</v>
      </c>
      <c r="D9" s="2">
        <v>76</v>
      </c>
      <c r="E9" s="2">
        <v>200</v>
      </c>
      <c r="F9" s="2">
        <v>26.31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>
      <c r="A10" s="2" t="s">
        <v>17</v>
      </c>
      <c r="B10" s="2" t="s">
        <v>7</v>
      </c>
      <c r="C10" s="2" t="s">
        <v>16</v>
      </c>
      <c r="D10" s="2">
        <v>71</v>
      </c>
      <c r="E10" s="2">
        <v>190</v>
      </c>
      <c r="F10" s="2">
        <v>27.5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5">
      <c r="A11" s="2" t="s">
        <v>18</v>
      </c>
      <c r="B11" s="2" t="s">
        <v>7</v>
      </c>
      <c r="C11" s="2" t="s">
        <v>16</v>
      </c>
      <c r="D11" s="2">
        <v>82</v>
      </c>
      <c r="E11" s="2">
        <v>250</v>
      </c>
      <c r="F11" s="2">
        <v>27.77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5">
      <c r="A12" s="2" t="s">
        <v>19</v>
      </c>
      <c r="B12" s="2" t="s">
        <v>7</v>
      </c>
      <c r="C12" s="2" t="s">
        <v>16</v>
      </c>
      <c r="D12" s="2">
        <v>72</v>
      </c>
      <c r="E12" s="2">
        <v>185</v>
      </c>
      <c r="F12" s="2">
        <v>40.880000000000003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>
      <c r="A13" s="2" t="s">
        <v>20</v>
      </c>
      <c r="B13" s="2" t="s">
        <v>7</v>
      </c>
      <c r="C13" s="2" t="s">
        <v>16</v>
      </c>
      <c r="D13" s="2">
        <v>73</v>
      </c>
      <c r="E13" s="2">
        <v>180</v>
      </c>
      <c r="F13" s="2">
        <v>25.75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>
      <c r="A17" s="7" t="s">
        <v>42</v>
      </c>
      <c r="B17" s="7" t="s">
        <v>43</v>
      </c>
      <c r="C17" s="9" t="s">
        <v>44</v>
      </c>
      <c r="D17" s="9" t="s">
        <v>45</v>
      </c>
      <c r="E17" s="10" t="s">
        <v>46</v>
      </c>
      <c r="F17" s="10" t="s">
        <v>47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>
      <c r="A18" s="2">
        <f>AVERAGE(D2:D13)</f>
        <v>73.333333333333329</v>
      </c>
      <c r="B18" s="6">
        <f>MEDIAN(D2:D13)</f>
        <v>72.5</v>
      </c>
      <c r="C18" s="6">
        <f>_xlfn.STDEV.S(D2:D13)</f>
        <v>3.2844906435973886</v>
      </c>
      <c r="D18" s="6">
        <f>_xlfn.STDEV.P(D2:D13)</f>
        <v>3.1446603773522015</v>
      </c>
      <c r="E18" s="6">
        <f>_xlfn.VAR.S(D2:D13)</f>
        <v>10.787878787878789</v>
      </c>
      <c r="F18" s="6">
        <f>_xlfn.VAR.P(D2:D13)</f>
        <v>9.8888888888888911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>
      <c r="A19" s="7" t="s">
        <v>48</v>
      </c>
      <c r="B19" s="7" t="s">
        <v>49</v>
      </c>
      <c r="C19" s="7" t="s">
        <v>50</v>
      </c>
      <c r="D19" s="8" t="s">
        <v>51</v>
      </c>
      <c r="E19" s="7" t="s">
        <v>52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>
      <c r="A20" s="6">
        <f>MIN(D2:D13)</f>
        <v>70</v>
      </c>
      <c r="B20" s="6">
        <f>MAX(D2:D13)</f>
        <v>82</v>
      </c>
      <c r="C20" s="6">
        <f>MAX(D2:D13) - MIN(D2:D13)</f>
        <v>12</v>
      </c>
      <c r="D20" s="6">
        <f>SUM(D2:D13)</f>
        <v>880</v>
      </c>
      <c r="E20" s="6">
        <f>COUNTIF(D2:D13, 72)</f>
        <v>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5">
      <c r="A21" s="7" t="s">
        <v>53</v>
      </c>
      <c r="B21" s="7" t="s">
        <v>54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">
      <c r="A22" s="2">
        <f>AVERAGE(E2:E13)</f>
        <v>204.25</v>
      </c>
      <c r="B22" s="6">
        <f>MEDIAN(E2:E13)</f>
        <v>200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5">
      <c r="A23" s="7" t="s">
        <v>55</v>
      </c>
      <c r="B23" s="7" t="s">
        <v>56</v>
      </c>
      <c r="C23" s="7" t="s">
        <v>50</v>
      </c>
      <c r="D23" s="7" t="s">
        <v>51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">
      <c r="A24" s="6">
        <f>MIN(E2:E13)</f>
        <v>180</v>
      </c>
      <c r="B24" s="6">
        <f>MAX(E2:E13)</f>
        <v>250</v>
      </c>
      <c r="C24" s="6">
        <f>MAX(E2:E13) - MIN(E2:E13)</f>
        <v>70</v>
      </c>
      <c r="D24" s="6">
        <f>SUM(E2:E13)</f>
        <v>2451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5">
      <c r="A25" s="7" t="s">
        <v>57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">
      <c r="A26" s="6">
        <f>CORREL(D2:D13, E2:E13)</f>
        <v>0.51711075547860974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5">
      <c r="A28" s="2"/>
      <c r="B28" s="13" t="s">
        <v>64</v>
      </c>
      <c r="C28" s="13" t="s">
        <v>65</v>
      </c>
      <c r="D28" s="13" t="s">
        <v>66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">
      <c r="A29" s="2"/>
      <c r="B29" s="6">
        <f>COUNTIF(C2:C13, "Outfielder")</f>
        <v>7</v>
      </c>
      <c r="C29" s="6">
        <f>INDEX(C8:E13, 5, 2)</f>
        <v>72</v>
      </c>
      <c r="D29" s="6">
        <f>MATCH(75, D2:D13, 0)</f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5">
      <c r="A31" s="13" t="s">
        <v>67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">
      <c r="A32" s="6">
        <f>VLOOKUP("Mike_Thompson", A2:F13, 6, FALSE)</f>
        <v>26.31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5">
      <c r="A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 customHeight="1">
      <c r="B1001" s="2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328125" defaultRowHeight="15" customHeight="1"/>
  <cols>
    <col min="1" max="1" width="11.7265625" customWidth="1"/>
    <col min="2" max="2" width="14.6328125" customWidth="1"/>
    <col min="3" max="3" width="13.08984375" customWidth="1"/>
    <col min="4" max="6" width="8.7265625" customWidth="1"/>
    <col min="7" max="26" width="8.6328125" customWidth="1"/>
  </cols>
  <sheetData>
    <row r="1" spans="1:26">
      <c r="A1" s="1" t="s">
        <v>21</v>
      </c>
      <c r="B1" s="1" t="s">
        <v>22</v>
      </c>
      <c r="C1" s="1" t="s">
        <v>23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>
        <v>1949</v>
      </c>
      <c r="B2" s="2" t="s">
        <v>24</v>
      </c>
      <c r="C2" s="2">
        <v>112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1949</v>
      </c>
      <c r="B3" s="2" t="s">
        <v>25</v>
      </c>
      <c r="C3" s="2">
        <v>118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1949</v>
      </c>
      <c r="B4" s="2" t="s">
        <v>26</v>
      </c>
      <c r="C4" s="2">
        <v>132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1949</v>
      </c>
      <c r="B5" s="2" t="s">
        <v>27</v>
      </c>
      <c r="C5" s="2">
        <v>129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1949</v>
      </c>
      <c r="B6" s="2" t="s">
        <v>28</v>
      </c>
      <c r="C6" s="2">
        <v>121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1949</v>
      </c>
      <c r="B7" s="2" t="s">
        <v>29</v>
      </c>
      <c r="C7" s="2">
        <v>135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1949</v>
      </c>
      <c r="B8" s="2" t="s">
        <v>30</v>
      </c>
      <c r="C8" s="2">
        <v>148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1949</v>
      </c>
      <c r="B9" s="2" t="s">
        <v>31</v>
      </c>
      <c r="C9" s="2">
        <v>148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1949</v>
      </c>
      <c r="B10" s="2" t="s">
        <v>32</v>
      </c>
      <c r="C10" s="2">
        <v>136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1949</v>
      </c>
      <c r="B11" s="2" t="s">
        <v>33</v>
      </c>
      <c r="C11" s="2">
        <v>119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1949</v>
      </c>
      <c r="B12" s="2" t="s">
        <v>34</v>
      </c>
      <c r="C12" s="2">
        <v>104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1949</v>
      </c>
      <c r="B13" s="2" t="s">
        <v>35</v>
      </c>
      <c r="C13" s="2">
        <v>118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1950</v>
      </c>
      <c r="B14" s="2" t="s">
        <v>24</v>
      </c>
      <c r="C14" s="2">
        <v>115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1950</v>
      </c>
      <c r="B15" s="2" t="s">
        <v>25</v>
      </c>
      <c r="C15" s="2">
        <v>126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>
        <v>1950</v>
      </c>
      <c r="B16" s="2" t="s">
        <v>26</v>
      </c>
      <c r="C16" s="2">
        <v>141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>
        <v>1950</v>
      </c>
      <c r="B17" s="2" t="s">
        <v>27</v>
      </c>
      <c r="C17" s="2">
        <v>135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>
        <v>1950</v>
      </c>
      <c r="B18" s="2" t="s">
        <v>28</v>
      </c>
      <c r="C18" s="2">
        <v>125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>
        <v>1950</v>
      </c>
      <c r="B19" s="2" t="s">
        <v>29</v>
      </c>
      <c r="C19" s="2">
        <v>149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>
        <v>1950</v>
      </c>
      <c r="B20" s="2" t="s">
        <v>30</v>
      </c>
      <c r="C20" s="2">
        <v>170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>
        <v>1950</v>
      </c>
      <c r="B21" s="2" t="s">
        <v>31</v>
      </c>
      <c r="C21" s="2">
        <v>170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>
        <v>1950</v>
      </c>
      <c r="B22" s="2" t="s">
        <v>32</v>
      </c>
      <c r="C22" s="2">
        <v>158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>
        <v>1950</v>
      </c>
      <c r="B23" s="2" t="s">
        <v>33</v>
      </c>
      <c r="C23" s="2">
        <v>133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>
        <v>1950</v>
      </c>
      <c r="B24" s="2" t="s">
        <v>34</v>
      </c>
      <c r="C24" s="2">
        <v>114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>
        <v>1950</v>
      </c>
      <c r="B25" s="2" t="s">
        <v>35</v>
      </c>
      <c r="C25" s="2">
        <v>140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>
        <v>1951</v>
      </c>
      <c r="B26" s="2" t="s">
        <v>24</v>
      </c>
      <c r="C26" s="2">
        <v>145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>
        <v>1951</v>
      </c>
      <c r="B27" s="2" t="s">
        <v>25</v>
      </c>
      <c r="C27" s="2">
        <v>150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>
        <v>1951</v>
      </c>
      <c r="B28" s="2" t="s">
        <v>26</v>
      </c>
      <c r="C28" s="2">
        <v>178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>
        <v>1951</v>
      </c>
      <c r="B29" s="2" t="s">
        <v>27</v>
      </c>
      <c r="C29" s="2">
        <v>163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>
        <v>1951</v>
      </c>
      <c r="B30" s="2" t="s">
        <v>28</v>
      </c>
      <c r="C30" s="2">
        <v>172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>
        <v>1951</v>
      </c>
      <c r="B31" s="2" t="s">
        <v>29</v>
      </c>
      <c r="C31" s="2">
        <v>178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>
        <v>1951</v>
      </c>
      <c r="B32" s="2" t="s">
        <v>30</v>
      </c>
      <c r="C32" s="2">
        <v>199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>
        <v>1951</v>
      </c>
      <c r="B33" s="2" t="s">
        <v>31</v>
      </c>
      <c r="C33" s="2">
        <v>199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>
        <v>1951</v>
      </c>
      <c r="B34" s="2" t="s">
        <v>32</v>
      </c>
      <c r="C34" s="2">
        <v>184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>
        <v>1951</v>
      </c>
      <c r="B35" s="2" t="s">
        <v>33</v>
      </c>
      <c r="C35" s="2">
        <v>162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>
        <v>1951</v>
      </c>
      <c r="B36" s="2" t="s">
        <v>34</v>
      </c>
      <c r="C36" s="2">
        <v>146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>
        <v>1951</v>
      </c>
      <c r="B37" s="2" t="s">
        <v>35</v>
      </c>
      <c r="C37" s="2">
        <v>166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>
        <v>1952</v>
      </c>
      <c r="B38" s="2" t="s">
        <v>24</v>
      </c>
      <c r="C38" s="2">
        <v>171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>
        <v>1952</v>
      </c>
      <c r="B39" s="2" t="s">
        <v>25</v>
      </c>
      <c r="C39" s="2">
        <v>180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>
        <v>1952</v>
      </c>
      <c r="B40" s="2" t="s">
        <v>26</v>
      </c>
      <c r="C40" s="2">
        <v>193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>
        <v>1952</v>
      </c>
      <c r="B41" s="2" t="s">
        <v>27</v>
      </c>
      <c r="C41" s="2">
        <v>181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>
        <v>1952</v>
      </c>
      <c r="B42" s="2" t="s">
        <v>28</v>
      </c>
      <c r="C42" s="2">
        <v>183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>
        <v>1952</v>
      </c>
      <c r="B43" s="2" t="s">
        <v>29</v>
      </c>
      <c r="C43" s="2">
        <v>218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>
        <v>1952</v>
      </c>
      <c r="B44" s="2" t="s">
        <v>30</v>
      </c>
      <c r="C44" s="2">
        <v>230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>
        <v>1952</v>
      </c>
      <c r="B45" s="2" t="s">
        <v>31</v>
      </c>
      <c r="C45" s="2">
        <v>242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>
        <v>1952</v>
      </c>
      <c r="B46" s="2" t="s">
        <v>32</v>
      </c>
      <c r="C46" s="2">
        <v>209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>
        <v>1952</v>
      </c>
      <c r="B47" s="2" t="s">
        <v>33</v>
      </c>
      <c r="C47" s="2">
        <v>191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>
        <v>1952</v>
      </c>
      <c r="B48" s="2" t="s">
        <v>34</v>
      </c>
      <c r="C48" s="2">
        <v>172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>
        <v>1952</v>
      </c>
      <c r="B49" s="2" t="s">
        <v>35</v>
      </c>
      <c r="C49" s="2">
        <v>194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>
        <v>1953</v>
      </c>
      <c r="B50" s="2" t="s">
        <v>24</v>
      </c>
      <c r="C50" s="2">
        <v>196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>
        <v>1953</v>
      </c>
      <c r="B51" s="2" t="s">
        <v>25</v>
      </c>
      <c r="C51" s="2">
        <v>196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>
        <v>1953</v>
      </c>
      <c r="B52" s="2" t="s">
        <v>26</v>
      </c>
      <c r="C52" s="2">
        <v>236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>
        <v>1953</v>
      </c>
      <c r="B53" s="2" t="s">
        <v>27</v>
      </c>
      <c r="C53" s="2">
        <v>235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>
        <v>1953</v>
      </c>
      <c r="B54" s="2" t="s">
        <v>28</v>
      </c>
      <c r="C54" s="2">
        <v>229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>
        <v>1953</v>
      </c>
      <c r="B55" s="2" t="s">
        <v>29</v>
      </c>
      <c r="C55" s="2">
        <v>243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>
        <v>1953</v>
      </c>
      <c r="B56" s="2" t="s">
        <v>30</v>
      </c>
      <c r="C56" s="2">
        <v>264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>
        <v>1953</v>
      </c>
      <c r="B57" s="2" t="s">
        <v>31</v>
      </c>
      <c r="C57" s="2">
        <v>272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>
        <v>1953</v>
      </c>
      <c r="B58" s="2" t="s">
        <v>32</v>
      </c>
      <c r="C58" s="2">
        <v>237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>
        <v>1953</v>
      </c>
      <c r="B59" s="2" t="s">
        <v>33</v>
      </c>
      <c r="C59" s="2">
        <v>211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>
        <v>1953</v>
      </c>
      <c r="B60" s="2" t="s">
        <v>34</v>
      </c>
      <c r="C60" s="2">
        <v>180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>
        <v>1953</v>
      </c>
      <c r="B61" s="2" t="s">
        <v>35</v>
      </c>
      <c r="C61" s="2">
        <v>201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>
        <v>1954</v>
      </c>
      <c r="B62" s="2" t="s">
        <v>24</v>
      </c>
      <c r="C62" s="2">
        <v>204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>
        <v>1954</v>
      </c>
      <c r="B63" s="2" t="s">
        <v>25</v>
      </c>
      <c r="C63" s="2">
        <v>188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>
        <v>1954</v>
      </c>
      <c r="B64" s="2" t="s">
        <v>26</v>
      </c>
      <c r="C64" s="2">
        <v>235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>
        <v>1954</v>
      </c>
      <c r="B65" s="2" t="s">
        <v>27</v>
      </c>
      <c r="C65" s="2">
        <v>227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>
        <v>1954</v>
      </c>
      <c r="B66" s="2" t="s">
        <v>28</v>
      </c>
      <c r="C66" s="2">
        <v>234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>
        <v>1954</v>
      </c>
      <c r="B67" s="2" t="s">
        <v>29</v>
      </c>
      <c r="C67" s="2">
        <v>264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>
        <v>1954</v>
      </c>
      <c r="B68" s="2" t="s">
        <v>30</v>
      </c>
      <c r="C68" s="2">
        <v>302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>
        <v>1954</v>
      </c>
      <c r="B69" s="2" t="s">
        <v>31</v>
      </c>
      <c r="C69" s="2">
        <v>293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>
        <v>1954</v>
      </c>
      <c r="B70" s="2" t="s">
        <v>32</v>
      </c>
      <c r="C70" s="2">
        <v>259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>
        <v>1954</v>
      </c>
      <c r="B71" s="2" t="s">
        <v>33</v>
      </c>
      <c r="C71" s="2">
        <v>229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>
        <v>1954</v>
      </c>
      <c r="B72" s="2" t="s">
        <v>34</v>
      </c>
      <c r="C72" s="2">
        <v>203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>
        <v>1954</v>
      </c>
      <c r="B73" s="2" t="s">
        <v>35</v>
      </c>
      <c r="C73" s="2">
        <v>229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>
        <v>1955</v>
      </c>
      <c r="B74" s="2" t="s">
        <v>24</v>
      </c>
      <c r="C74" s="2">
        <v>242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>
        <v>1955</v>
      </c>
      <c r="B75" s="2" t="s">
        <v>25</v>
      </c>
      <c r="C75" s="2">
        <v>233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>
        <v>1955</v>
      </c>
      <c r="B76" s="2" t="s">
        <v>26</v>
      </c>
      <c r="C76" s="2">
        <v>267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>
        <v>1955</v>
      </c>
      <c r="B77" s="2" t="s">
        <v>27</v>
      </c>
      <c r="C77" s="2">
        <v>269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>
        <v>1955</v>
      </c>
      <c r="B78" s="2" t="s">
        <v>28</v>
      </c>
      <c r="C78" s="2">
        <v>270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>
        <v>1955</v>
      </c>
      <c r="B79" s="2" t="s">
        <v>29</v>
      </c>
      <c r="C79" s="2">
        <v>315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>
        <v>1955</v>
      </c>
      <c r="B80" s="2" t="s">
        <v>30</v>
      </c>
      <c r="C80" s="2">
        <v>364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>
        <v>1955</v>
      </c>
      <c r="B81" s="2" t="s">
        <v>31</v>
      </c>
      <c r="C81" s="2">
        <v>347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>
        <v>1955</v>
      </c>
      <c r="B82" s="2" t="s">
        <v>32</v>
      </c>
      <c r="C82" s="2">
        <v>312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>
        <v>1955</v>
      </c>
      <c r="B83" s="2" t="s">
        <v>33</v>
      </c>
      <c r="C83" s="2">
        <v>274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>
        <v>1955</v>
      </c>
      <c r="B84" s="2" t="s">
        <v>34</v>
      </c>
      <c r="C84" s="2">
        <v>237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>
        <v>1955</v>
      </c>
      <c r="B85" s="2" t="s">
        <v>35</v>
      </c>
      <c r="C85" s="2">
        <v>278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>
        <v>1956</v>
      </c>
      <c r="B86" s="2" t="s">
        <v>24</v>
      </c>
      <c r="C86" s="2">
        <v>284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>
        <v>1956</v>
      </c>
      <c r="B87" s="2" t="s">
        <v>25</v>
      </c>
      <c r="C87" s="2">
        <v>277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>
        <v>1956</v>
      </c>
      <c r="B88" s="2" t="s">
        <v>26</v>
      </c>
      <c r="C88" s="2">
        <v>317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>
        <v>1956</v>
      </c>
      <c r="B89" s="2" t="s">
        <v>27</v>
      </c>
      <c r="C89" s="2">
        <v>313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>
        <v>1956</v>
      </c>
      <c r="B90" s="2" t="s">
        <v>28</v>
      </c>
      <c r="C90" s="2">
        <v>318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>
        <v>1956</v>
      </c>
      <c r="B91" s="2" t="s">
        <v>29</v>
      </c>
      <c r="C91" s="2">
        <v>374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>
        <v>1956</v>
      </c>
      <c r="B92" s="2" t="s">
        <v>30</v>
      </c>
      <c r="C92" s="2">
        <v>413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>
        <v>1956</v>
      </c>
      <c r="B93" s="2" t="s">
        <v>31</v>
      </c>
      <c r="C93" s="2">
        <v>405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>
        <v>1956</v>
      </c>
      <c r="B94" s="2" t="s">
        <v>32</v>
      </c>
      <c r="C94" s="2">
        <v>355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>
        <v>1956</v>
      </c>
      <c r="B95" s="2" t="s">
        <v>33</v>
      </c>
      <c r="C95" s="2">
        <v>306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>
        <v>1956</v>
      </c>
      <c r="B96" s="2" t="s">
        <v>34</v>
      </c>
      <c r="C96" s="2">
        <v>271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>
        <v>1956</v>
      </c>
      <c r="B97" s="2" t="s">
        <v>35</v>
      </c>
      <c r="C97" s="2">
        <v>306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>
        <v>1957</v>
      </c>
      <c r="B98" s="2" t="s">
        <v>24</v>
      </c>
      <c r="C98" s="2">
        <v>315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>
        <v>1957</v>
      </c>
      <c r="B99" s="2" t="s">
        <v>25</v>
      </c>
      <c r="C99" s="2">
        <v>301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>
        <v>1957</v>
      </c>
      <c r="B100" s="2" t="s">
        <v>26</v>
      </c>
      <c r="C100" s="2">
        <v>356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>
        <v>1957</v>
      </c>
      <c r="B101" s="2" t="s">
        <v>27</v>
      </c>
      <c r="C101" s="2">
        <v>348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>
        <v>1957</v>
      </c>
      <c r="B102" s="2" t="s">
        <v>28</v>
      </c>
      <c r="C102" s="2">
        <v>355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>
        <v>1957</v>
      </c>
      <c r="B103" s="2" t="s">
        <v>29</v>
      </c>
      <c r="C103" s="2">
        <v>422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>
        <v>1957</v>
      </c>
      <c r="B104" s="2" t="s">
        <v>30</v>
      </c>
      <c r="C104" s="2">
        <v>465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>
        <v>1957</v>
      </c>
      <c r="B105" s="2" t="s">
        <v>31</v>
      </c>
      <c r="C105" s="2">
        <v>467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>
        <v>1957</v>
      </c>
      <c r="B106" s="2" t="s">
        <v>32</v>
      </c>
      <c r="C106" s="2">
        <v>404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>
        <v>1957</v>
      </c>
      <c r="B107" s="2" t="s">
        <v>33</v>
      </c>
      <c r="C107" s="2">
        <v>347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>
        <v>1957</v>
      </c>
      <c r="B108" s="2" t="s">
        <v>34</v>
      </c>
      <c r="C108" s="2">
        <v>305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>
        <v>1957</v>
      </c>
      <c r="B109" s="2" t="s">
        <v>35</v>
      </c>
      <c r="C109" s="2">
        <v>336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>
        <v>1958</v>
      </c>
      <c r="B110" s="2" t="s">
        <v>24</v>
      </c>
      <c r="C110" s="2">
        <v>340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>
        <v>1958</v>
      </c>
      <c r="B111" s="2" t="s">
        <v>25</v>
      </c>
      <c r="C111" s="2">
        <v>318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>
        <v>1958</v>
      </c>
      <c r="B112" s="2" t="s">
        <v>26</v>
      </c>
      <c r="C112" s="2">
        <v>362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>
        <v>1958</v>
      </c>
      <c r="B113" s="2" t="s">
        <v>27</v>
      </c>
      <c r="C113" s="2">
        <v>348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>
        <v>1958</v>
      </c>
      <c r="B114" s="2" t="s">
        <v>28</v>
      </c>
      <c r="C114" s="2">
        <v>363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>
        <v>1958</v>
      </c>
      <c r="B115" s="2" t="s">
        <v>29</v>
      </c>
      <c r="C115" s="2">
        <v>435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>
        <v>1958</v>
      </c>
      <c r="B116" s="2" t="s">
        <v>30</v>
      </c>
      <c r="C116" s="2">
        <v>491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>
        <v>1958</v>
      </c>
      <c r="B117" s="2" t="s">
        <v>31</v>
      </c>
      <c r="C117" s="2">
        <v>505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>
        <v>1958</v>
      </c>
      <c r="B118" s="2" t="s">
        <v>32</v>
      </c>
      <c r="C118" s="2">
        <v>404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>
        <v>1958</v>
      </c>
      <c r="B119" s="2" t="s">
        <v>33</v>
      </c>
      <c r="C119" s="2">
        <v>359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>
        <v>1958</v>
      </c>
      <c r="B120" s="2" t="s">
        <v>34</v>
      </c>
      <c r="C120" s="2">
        <v>310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>
        <v>1958</v>
      </c>
      <c r="B121" s="2" t="s">
        <v>35</v>
      </c>
      <c r="C121" s="2">
        <v>337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>
        <v>1959</v>
      </c>
      <c r="B122" s="2" t="s">
        <v>24</v>
      </c>
      <c r="C122" s="2">
        <v>360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>
        <v>1959</v>
      </c>
      <c r="B123" s="2" t="s">
        <v>25</v>
      </c>
      <c r="C123" s="2">
        <v>342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>
        <v>1959</v>
      </c>
      <c r="B124" s="2" t="s">
        <v>26</v>
      </c>
      <c r="C124" s="2">
        <v>406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>
        <v>1959</v>
      </c>
      <c r="B125" s="2" t="s">
        <v>27</v>
      </c>
      <c r="C125" s="2">
        <v>396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>
        <v>1959</v>
      </c>
      <c r="B126" s="2" t="s">
        <v>28</v>
      </c>
      <c r="C126" s="2">
        <v>420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>
        <v>1959</v>
      </c>
      <c r="B127" s="2" t="s">
        <v>29</v>
      </c>
      <c r="C127" s="2">
        <v>472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>
        <v>1959</v>
      </c>
      <c r="B128" s="2" t="s">
        <v>30</v>
      </c>
      <c r="C128" s="2">
        <v>548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>
        <v>1959</v>
      </c>
      <c r="B129" s="2" t="s">
        <v>31</v>
      </c>
      <c r="C129" s="2">
        <v>559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>
        <v>1959</v>
      </c>
      <c r="B130" s="2" t="s">
        <v>32</v>
      </c>
      <c r="C130" s="2">
        <v>463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>
        <v>1959</v>
      </c>
      <c r="B131" s="2" t="s">
        <v>33</v>
      </c>
      <c r="C131" s="2">
        <v>407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>
        <v>1959</v>
      </c>
      <c r="B132" s="2" t="s">
        <v>34</v>
      </c>
      <c r="C132" s="2">
        <v>362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>
        <v>1959</v>
      </c>
      <c r="B133" s="2" t="s">
        <v>35</v>
      </c>
      <c r="C133" s="2">
        <v>405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>
        <v>1960</v>
      </c>
      <c r="B134" s="2" t="s">
        <v>24</v>
      </c>
      <c r="C134" s="2">
        <v>417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>
        <v>1960</v>
      </c>
      <c r="B135" s="2" t="s">
        <v>25</v>
      </c>
      <c r="C135" s="2">
        <v>391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>
        <v>1960</v>
      </c>
      <c r="B136" s="2" t="s">
        <v>26</v>
      </c>
      <c r="C136" s="2">
        <v>419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>
        <v>1960</v>
      </c>
      <c r="B137" s="2" t="s">
        <v>27</v>
      </c>
      <c r="C137" s="2">
        <v>461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>
        <v>1960</v>
      </c>
      <c r="B138" s="2" t="s">
        <v>28</v>
      </c>
      <c r="C138" s="2">
        <v>472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>
        <v>1960</v>
      </c>
      <c r="B139" s="2" t="s">
        <v>29</v>
      </c>
      <c r="C139" s="2">
        <v>535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>
        <v>1960</v>
      </c>
      <c r="B140" s="2" t="s">
        <v>30</v>
      </c>
      <c r="C140" s="2">
        <v>622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>
        <v>1960</v>
      </c>
      <c r="B141" s="2" t="s">
        <v>31</v>
      </c>
      <c r="C141" s="2">
        <v>606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>
        <v>1960</v>
      </c>
      <c r="B142" s="2" t="s">
        <v>32</v>
      </c>
      <c r="C142" s="2">
        <v>508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>
        <v>1960</v>
      </c>
      <c r="B143" s="2" t="s">
        <v>33</v>
      </c>
      <c r="C143" s="2">
        <v>461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>
        <v>1960</v>
      </c>
      <c r="B144" s="2" t="s">
        <v>34</v>
      </c>
      <c r="C144" s="2">
        <v>390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>
        <v>1960</v>
      </c>
      <c r="B145" s="2" t="s">
        <v>35</v>
      </c>
      <c r="C145" s="2">
        <v>432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2.6328125" defaultRowHeight="15" customHeight="1"/>
  <cols>
    <col min="1" max="1" width="11.7265625" customWidth="1"/>
    <col min="2" max="2" width="68.26953125" customWidth="1"/>
    <col min="3" max="26" width="8.6328125" customWidth="1"/>
  </cols>
  <sheetData>
    <row r="1" spans="1:2" ht="14.25" customHeight="1">
      <c r="A1" s="3" t="s">
        <v>36</v>
      </c>
      <c r="B1" s="3" t="s">
        <v>37</v>
      </c>
    </row>
    <row r="2" spans="1:2" ht="14.25" customHeight="1">
      <c r="A2" s="4" t="s">
        <v>38</v>
      </c>
      <c r="B2" s="2" t="s">
        <v>39</v>
      </c>
    </row>
    <row r="3" spans="1:2" ht="14.25" customHeight="1">
      <c r="A3" s="5" t="s">
        <v>40</v>
      </c>
      <c r="B3" s="2" t="s">
        <v>41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8CE1-B8BE-4F15-ABB5-0AF855BB454C}">
  <dimension ref="A1"/>
  <sheetViews>
    <sheetView topLeftCell="A24"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4F10-8E64-43E0-978C-85A2B0B08889}">
  <dimension ref="A1:A9"/>
  <sheetViews>
    <sheetView workbookViewId="0">
      <selection activeCell="D23" sqref="D23"/>
    </sheetView>
  </sheetViews>
  <sheetFormatPr defaultRowHeight="14.5"/>
  <sheetData>
    <row r="1" spans="1:1" ht="16">
      <c r="A1" s="6"/>
    </row>
    <row r="2" spans="1:1" ht="16">
      <c r="A2" s="11" t="s">
        <v>58</v>
      </c>
    </row>
    <row r="3" spans="1:1" ht="16">
      <c r="A3" s="11" t="s">
        <v>59</v>
      </c>
    </row>
    <row r="4" spans="1:1" ht="16">
      <c r="A4" s="11" t="s">
        <v>60</v>
      </c>
    </row>
    <row r="7" spans="1:1">
      <c r="A7" s="12" t="s">
        <v>61</v>
      </c>
    </row>
    <row r="8" spans="1:1">
      <c r="A8" s="12" t="s">
        <v>62</v>
      </c>
    </row>
    <row r="9" spans="1:1">
      <c r="A9" s="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SOCR-small.csv</vt:lpstr>
      <vt:lpstr>flights</vt:lpstr>
      <vt:lpstr>Data Sources</vt:lpstr>
      <vt:lpstr>Lookups</vt:lpstr>
      <vt:lpstr>Answers</vt:lpstr>
      <vt:lpstr>flights!ExternalData_1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 jan</dc:creator>
  <cp:lastModifiedBy>Tuttle, John</cp:lastModifiedBy>
  <dcterms:created xsi:type="dcterms:W3CDTF">2024-02-18T22:50:25Z</dcterms:created>
  <dcterms:modified xsi:type="dcterms:W3CDTF">2026-02-26T20:21:03Z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0x010100AE83672E4DD5AF40BD2A2F395FF01F60</vt:lpwstr>
  </property>
</Properties>
</file>